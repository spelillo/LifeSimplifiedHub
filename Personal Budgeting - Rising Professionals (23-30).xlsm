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2a8db4401579d29/website/"/>
    </mc:Choice>
  </mc:AlternateContent>
  <xr:revisionPtr revIDLastSave="215" documentId="8_{6CF75856-1793-47B0-B2E0-BD5D1D7777AF}" xr6:coauthVersionLast="47" xr6:coauthVersionMax="47" xr10:uidLastSave="{FCF60FC5-C6F9-4614-B9A0-5E5D08FD9A44}"/>
  <bookViews>
    <workbookView xWindow="-28920" yWindow="-120" windowWidth="29040" windowHeight="15720" xr2:uid="{00000000-000D-0000-FFFF-FFFF00000000}"/>
  </bookViews>
  <sheets>
    <sheet name="Personal Budgeting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15" i="1" l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AQ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AQ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AQ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AQ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AQ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AQ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AQ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AQ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AQ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AQ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AQ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U18" i="1"/>
  <c r="D18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U4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U5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U6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U7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U8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U9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U10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U11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U12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U13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U14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U15" i="1"/>
  <c r="D5" i="1"/>
  <c r="D6" i="1"/>
  <c r="D7" i="1"/>
  <c r="D8" i="1"/>
  <c r="D9" i="1"/>
  <c r="D10" i="1"/>
  <c r="D11" i="1"/>
  <c r="D12" i="1"/>
  <c r="D13" i="1"/>
  <c r="D14" i="1"/>
  <c r="D15" i="1"/>
  <c r="D4" i="1"/>
</calcChain>
</file>

<file path=xl/sharedStrings.xml><?xml version="1.0" encoding="utf-8"?>
<sst xmlns="http://schemas.openxmlformats.org/spreadsheetml/2006/main" count="82" uniqueCount="42">
  <si>
    <t>Month</t>
  </si>
  <si>
    <t>Income Post-Tax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</si>
  <si>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</si>
  <si>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</si>
  <si>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</si>
  <si>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</si>
  <si>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</si>
  <si>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</si>
  <si>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</si>
  <si>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</si>
  <si>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</si>
  <si>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</si>
  <si>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</si>
  <si>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</si>
  <si>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Notes </t>
  </si>
  <si>
    <t>Year 1</t>
  </si>
  <si>
    <t>Other Income</t>
  </si>
  <si>
    <t>Investments (Brokerage)</t>
  </si>
  <si>
    <t>Investment (IRA)</t>
  </si>
  <si>
    <t>Short Term Savings</t>
  </si>
  <si>
    <t>Long Term Savings</t>
  </si>
  <si>
    <t>Credit Card</t>
  </si>
  <si>
    <t>Student Loans</t>
  </si>
  <si>
    <t>Column1</t>
  </si>
  <si>
    <t>Rent/Mortgage</t>
  </si>
  <si>
    <t>Internet &amp; Data</t>
  </si>
  <si>
    <t>Subscriptions</t>
  </si>
  <si>
    <t>Car Payments</t>
  </si>
  <si>
    <t>Health and Wellness</t>
  </si>
  <si>
    <t>Gas</t>
  </si>
  <si>
    <t>Groceries</t>
  </si>
  <si>
    <t>Children &amp; Family</t>
  </si>
  <si>
    <t>Childcare</t>
  </si>
  <si>
    <t>Pets</t>
  </si>
  <si>
    <t>Other (make note)</t>
  </si>
  <si>
    <t>Income</t>
  </si>
  <si>
    <t>Saving &amp; Investing</t>
  </si>
  <si>
    <t>Expenses</t>
  </si>
  <si>
    <t>Family</t>
  </si>
  <si>
    <t>Percent Allocation, adjsut to fit your needs - changes will be applied above</t>
  </si>
  <si>
    <t>Fun</t>
  </si>
  <si>
    <t>Year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</si>
</sst>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i/>
      <sz val="15"/>
      <color theme="1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7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6676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0" applyFont="1" applyAlignment="1">
      <alignment horizontal="center" vertical="center"/>
    </xf>
    <xf numFmtId="44" fontId="0" fillId="0" borderId="0" xfId="1" applyFont="1" applyBorder="1"/>
    <xf numFmtId="0" fontId="0" fillId="0" borderId="5" xfId="0" applyBorder="1"/>
    <xf numFmtId="0" fontId="0" fillId="0" borderId="8" xfId="0" applyBorder="1"/>
    <xf numFmtId="0" fontId="0" fillId="0" borderId="4" xfId="0" applyBorder="1"/>
    <xf numFmtId="0" fontId="0" fillId="0" borderId="3" xfId="0" applyBorder="1"/>
    <xf numFmtId="44" fontId="0" fillId="0" borderId="1" xfId="1" applyFont="1" applyBorder="1"/>
    <xf numFmtId="0" fontId="0" fillId="0" borderId="9" xfId="0" applyBorder="1"/>
    <xf numFmtId="44" fontId="0" fillId="0" borderId="10" xfId="1" applyFont="1" applyBorder="1"/>
    <xf numFmtId="0" fontId="6" fillId="0" borderId="0" xfId="0" applyFont="1" applyAlignment="1">
      <alignment horizontal="center" vertical="center"/>
    </xf>
    <xf numFmtId="44" fontId="0" fillId="0" borderId="4" xfId="1" applyFont="1" applyBorder="1" applyAlignment="1">
      <alignment horizontal="left" vertical="top" wrapText="1"/>
    </xf>
    <xf numFmtId="44" fontId="0" fillId="0" borderId="2" xfId="1" applyFont="1" applyBorder="1" applyAlignment="1">
      <alignment horizontal="left" vertical="top" wrapText="1"/>
    </xf>
    <xf numFmtId="44" fontId="0" fillId="0" borderId="11" xfId="1" applyFont="1" applyBorder="1" applyAlignment="1">
      <alignment horizontal="left" vertical="top" wrapText="1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10" fontId="0" fillId="0" borderId="0" xfId="0" applyNumberFormat="1"/>
    <xf numFmtId="10" fontId="4" fillId="3" borderId="18" xfId="2" applyNumberFormat="1" applyFont="1" applyFill="1" applyBorder="1" applyAlignment="1">
      <alignment horizontal="center" vertical="center"/>
    </xf>
    <xf numFmtId="10" fontId="4" fillId="3" borderId="19" xfId="2" applyNumberFormat="1" applyFont="1" applyFill="1" applyBorder="1" applyAlignment="1">
      <alignment horizontal="center" vertical="center"/>
    </xf>
    <xf numFmtId="10" fontId="4" fillId="4" borderId="19" xfId="2" applyNumberFormat="1" applyFont="1" applyFill="1" applyBorder="1" applyAlignment="1">
      <alignment horizontal="center" vertical="center"/>
    </xf>
    <xf numFmtId="10" fontId="4" fillId="5" borderId="19" xfId="2" applyNumberFormat="1" applyFont="1" applyFill="1" applyBorder="1" applyAlignment="1">
      <alignment horizontal="center" vertical="center"/>
    </xf>
    <xf numFmtId="10" fontId="4" fillId="7" borderId="22" xfId="2" applyNumberFormat="1" applyFont="1" applyFill="1" applyBorder="1" applyAlignment="1">
      <alignment horizontal="center" vertical="center"/>
    </xf>
    <xf numFmtId="10" fontId="4" fillId="0" borderId="20" xfId="2" applyNumberFormat="1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Medium9"/>
  <colors>
    <mruColors>
      <color rgb="FFD667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469900</xdr:colOff>
      <xdr:row>19</xdr:row>
      <xdr:rowOff>97790</xdr:rowOff>
    </xdr:from>
    <xdr:to>
      <xdr:col>3</xdr:col>
      <xdr:colOff>867410</xdr:colOff>
      <xdr:row>43</xdr:row>
      <xdr:rowOff>134620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90F77F-893E-D218-02C1-3C1B501B7972}"/>
            </a:ext>
          </a:extLst>
        </xdr:cNvPr>
        <xdr:cNvSpPr txBox="1"/>
      </xdr:nvSpPr>
      <xdr:spPr>
        <a:xfrm>
          <a:off x="469900" y="6244590"/>
          <a:ext cx="3496310" cy="430403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300" b="1"/>
            <a:t>🧍‍♂️Single Rising Professionals: Build Momentum &amp; Freedom</a:t>
          </a:r>
        </a:p>
        <a:p>
          <a:endParaRPr lang="en-US" sz="1300" b="1"/>
        </a:p>
        <a:p>
          <a:r>
            <a:rPr lang="en-US" sz="1300" b="1"/>
            <a:t>Emergency Fund Goal</a:t>
          </a:r>
          <a:r>
            <a:rPr lang="en-US" sz="1300"/>
            <a:t>: 3–6 months of rent + essentials</a:t>
          </a:r>
        </a:p>
        <a:p>
          <a:r>
            <a:rPr lang="en-US" sz="13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Investments (IRA/Brokerage)</a:t>
          </a:r>
          <a:r>
            <a:rPr lang="en-US" sz="13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10–15% (start with employer match if available) </a:t>
          </a:r>
          <a:endParaRPr lang="en-US" sz="1300"/>
        </a:p>
        <a:p>
          <a:r>
            <a:rPr lang="en-US" sz="1300" b="1"/>
            <a:t>Short-Term Savings</a:t>
          </a:r>
          <a:r>
            <a:rPr lang="en-US" sz="1300"/>
            <a:t>: 10% (travel, goals, buffer) </a:t>
          </a:r>
        </a:p>
        <a:p>
          <a:r>
            <a:rPr lang="en-US" sz="1300" b="1"/>
            <a:t>Long-Term Savings</a:t>
          </a:r>
          <a:r>
            <a:rPr lang="en-US" sz="1300"/>
            <a:t>: 5% </a:t>
          </a:r>
        </a:p>
        <a:p>
          <a:r>
            <a:rPr lang="en-US" sz="1300" b="1"/>
            <a:t>Rent/Mortgage</a:t>
          </a:r>
          <a:r>
            <a:rPr lang="en-US" sz="1300"/>
            <a:t>: 25–30% </a:t>
          </a:r>
        </a:p>
        <a:p>
          <a:r>
            <a:rPr lang="en-US" sz="1300" b="1"/>
            <a:t>Student Loans</a:t>
          </a:r>
          <a:r>
            <a:rPr lang="en-US" sz="1300"/>
            <a:t>: 5% </a:t>
          </a:r>
        </a:p>
        <a:p>
          <a:r>
            <a:rPr lang="en-US" sz="1300" b="1"/>
            <a:t>Credit Card Payments</a:t>
          </a:r>
          <a:r>
            <a:rPr lang="en-US" sz="1300"/>
            <a:t>: 2–4% </a:t>
          </a:r>
        </a:p>
        <a:p>
          <a:r>
            <a:rPr lang="en-US" sz="1300" b="1"/>
            <a:t>Car Payments</a:t>
          </a:r>
          <a:r>
            <a:rPr lang="en-US" sz="1300"/>
            <a:t>: 10% </a:t>
          </a:r>
        </a:p>
        <a:p>
          <a:r>
            <a:rPr lang="en-US" sz="1300" b="1"/>
            <a:t>Gas/Transportation</a:t>
          </a:r>
          <a:r>
            <a:rPr lang="en-US" sz="1300"/>
            <a:t>: 5% </a:t>
          </a:r>
        </a:p>
        <a:p>
          <a:r>
            <a:rPr lang="en-US" sz="1300" b="1"/>
            <a:t>Groceries</a:t>
          </a:r>
          <a:r>
            <a:rPr lang="en-US" sz="1300"/>
            <a:t>: 10–12% </a:t>
          </a:r>
        </a:p>
        <a:p>
          <a:r>
            <a:rPr lang="en-US" sz="1300" b="1"/>
            <a:t>Internet &amp; Data</a:t>
          </a:r>
          <a:r>
            <a:rPr lang="en-US" sz="1300"/>
            <a:t>: 3% </a:t>
          </a:r>
        </a:p>
        <a:p>
          <a:r>
            <a:rPr lang="en-US" sz="1300" b="1"/>
            <a:t>Subscriptions</a:t>
          </a:r>
          <a:r>
            <a:rPr lang="en-US" sz="1300"/>
            <a:t>: 2–3% </a:t>
          </a:r>
        </a:p>
        <a:p>
          <a:r>
            <a:rPr lang="en-US" sz="1300" b="1"/>
            <a:t>Health &amp; Wellness</a:t>
          </a:r>
          <a:r>
            <a:rPr lang="en-US" sz="1300"/>
            <a:t>: 5% (gym, therapy, health costs) </a:t>
          </a:r>
        </a:p>
        <a:p>
          <a:r>
            <a:rPr lang="en-US" sz="1300" b="1"/>
            <a:t>Pets</a:t>
          </a:r>
          <a:r>
            <a:rPr lang="en-US" sz="1300"/>
            <a:t>: 1–2% </a:t>
          </a:r>
          <a:r>
            <a:rPr lang="en-US" sz="1300" i="1"/>
            <a:t>(if applicable)</a:t>
          </a:r>
          <a:r>
            <a:rPr lang="en-US" sz="1300"/>
            <a:t> </a:t>
          </a:r>
        </a:p>
        <a:p>
          <a:r>
            <a:rPr lang="en-US" sz="1300" b="1"/>
            <a:t>Other (gifts, one-offs, buffer)</a:t>
          </a:r>
          <a:r>
            <a:rPr lang="en-US" sz="1300"/>
            <a:t>: 3–5%</a:t>
          </a:r>
        </a:p>
        <a:p>
          <a:endParaRPr lang="en-US" sz="1100"/>
        </a:p>
      </xdr:txBody>
    </xdr:sp>
    <xdr:clientData/>
  </xdr:twoCellAnchor>
  <xdr:twoCellAnchor>
    <xdr:from>
      <xdr:col>15</xdr:col>
      <xdr:colOff>511583</xdr:colOff>
      <xdr:row>19</xdr:row>
      <xdr:rowOff>95068</xdr:rowOff>
    </xdr:from>
    <xdr:to>
      <xdr:col>19</xdr:col>
      <xdr:colOff>779780</xdr:colOff>
      <xdr:row>43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0DD90E2-57D9-C9CF-263E-B22DDAC0D376}"/>
            </a:ext>
          </a:extLst>
        </xdr:cNvPr>
        <xdr:cNvSpPr txBox="1"/>
      </xdr:nvSpPr>
      <xdr:spPr>
        <a:xfrm>
          <a:off x="20412483" y="6241868"/>
          <a:ext cx="4548097" cy="4324532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300"/>
        </a:p>
        <a:p>
          <a:r>
            <a:rPr lang="en-US" sz="1300" b="1"/>
            <a:t>👨‍👩‍👧‍👦 Young &amp; Expecting Families: Plan with Purpose</a:t>
          </a:r>
        </a:p>
        <a:p>
          <a:endParaRPr lang="en-US" sz="1300" b="1"/>
        </a:p>
        <a:p>
          <a:r>
            <a:rPr lang="en-US" sz="1300" b="1"/>
            <a:t>Emergency Fund Goal</a:t>
          </a:r>
          <a:r>
            <a:rPr lang="en-US" sz="1300"/>
            <a:t>: 3–6 months of </a:t>
          </a:r>
          <a:r>
            <a:rPr lang="en-US" sz="1300" i="1"/>
            <a:t>total household</a:t>
          </a:r>
          <a:r>
            <a:rPr lang="en-US" sz="1300"/>
            <a:t> expenses </a:t>
          </a:r>
        </a:p>
        <a:p>
          <a:r>
            <a:rPr lang="en-US" sz="13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Investments (IRA/Brokerage)</a:t>
          </a:r>
          <a:r>
            <a:rPr lang="en-US" sz="13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10–15% (spread across partners if needed</a:t>
          </a:r>
          <a:endParaRPr lang="en-US" sz="1300"/>
        </a:p>
        <a:p>
          <a:r>
            <a:rPr lang="en-US" sz="1300" b="1"/>
            <a:t>Short-Term Savings</a:t>
          </a:r>
          <a:r>
            <a:rPr lang="en-US" sz="1300"/>
            <a:t>: 5–10% (family travel, medical, buffer) </a:t>
          </a:r>
        </a:p>
        <a:p>
          <a:r>
            <a:rPr lang="en-US" sz="1300" b="1"/>
            <a:t>Long-Term Savings</a:t>
          </a:r>
          <a:r>
            <a:rPr lang="en-US" sz="1300"/>
            <a:t>: 8–10% (college, home goals)  </a:t>
          </a:r>
        </a:p>
        <a:p>
          <a:r>
            <a:rPr lang="en-US" sz="1300" b="1"/>
            <a:t>Rent/Mortgage</a:t>
          </a:r>
          <a:r>
            <a:rPr lang="en-US" sz="1300"/>
            <a:t>: 20–28% </a:t>
          </a:r>
        </a:p>
        <a:p>
          <a:r>
            <a:rPr lang="en-US" sz="1300" b="1"/>
            <a:t>Student Loans</a:t>
          </a:r>
          <a:r>
            <a:rPr lang="en-US" sz="1300"/>
            <a:t>: 3–5% </a:t>
          </a:r>
        </a:p>
        <a:p>
          <a:r>
            <a:rPr lang="en-US" sz="1300" b="1"/>
            <a:t>Credit Card Payments</a:t>
          </a:r>
          <a:r>
            <a:rPr lang="en-US" sz="1300"/>
            <a:t>: 2–4% </a:t>
          </a:r>
        </a:p>
        <a:p>
          <a:r>
            <a:rPr lang="en-US" sz="1300" b="1"/>
            <a:t>Car Payments</a:t>
          </a:r>
          <a:r>
            <a:rPr lang="en-US" sz="1300"/>
            <a:t>: 10–12%</a:t>
          </a:r>
        </a:p>
        <a:p>
          <a:r>
            <a:rPr lang="en-US" sz="1300" b="1"/>
            <a:t>Gas/Transportation</a:t>
          </a:r>
          <a:r>
            <a:rPr lang="en-US" sz="1300"/>
            <a:t>: 5–7% </a:t>
          </a:r>
        </a:p>
        <a:p>
          <a:r>
            <a:rPr lang="en-US" sz="1300" b="1"/>
            <a:t>Groceries</a:t>
          </a:r>
          <a:r>
            <a:rPr lang="en-US" sz="1300"/>
            <a:t>: 12–15% </a:t>
          </a:r>
        </a:p>
        <a:p>
          <a:r>
            <a:rPr lang="en-US" sz="1300" b="1"/>
            <a:t>Internet &amp; Data</a:t>
          </a:r>
          <a:r>
            <a:rPr lang="en-US" sz="1300"/>
            <a:t>: 3% </a:t>
          </a:r>
        </a:p>
        <a:p>
          <a:r>
            <a:rPr lang="en-US" sz="1300" b="1"/>
            <a:t>Subscriptions</a:t>
          </a:r>
          <a:r>
            <a:rPr lang="en-US" sz="1300"/>
            <a:t>: 2–3% </a:t>
          </a:r>
        </a:p>
        <a:p>
          <a:r>
            <a:rPr lang="en-US" sz="1300" b="1"/>
            <a:t>Health &amp; Wellness</a:t>
          </a:r>
          <a:r>
            <a:rPr lang="en-US" sz="1300"/>
            <a:t>: 5–7% (including kids' coverage) </a:t>
          </a:r>
        </a:p>
        <a:p>
          <a:r>
            <a:rPr lang="en-US" sz="1300" b="1"/>
            <a:t>Children &amp; Family</a:t>
          </a:r>
          <a:r>
            <a:rPr lang="en-US" sz="1300"/>
            <a:t>: 5–8% (clothing, activities, birthdays) </a:t>
          </a:r>
        </a:p>
        <a:p>
          <a:r>
            <a:rPr lang="en-US" sz="1300" b="1"/>
            <a:t>Childcare</a:t>
          </a:r>
          <a:r>
            <a:rPr lang="en-US" sz="1300"/>
            <a:t>: 5–15% (daycare, part-time help, etc.) </a:t>
          </a:r>
        </a:p>
        <a:p>
          <a:r>
            <a:rPr lang="en-US" sz="1300" b="1"/>
            <a:t>Pets</a:t>
          </a:r>
          <a:r>
            <a:rPr lang="en-US" sz="1300"/>
            <a:t>: 1–3% </a:t>
          </a:r>
          <a:r>
            <a:rPr lang="en-US" sz="1300" b="1"/>
            <a:t>Other (emergencies, gifts, repairs)</a:t>
          </a:r>
          <a:r>
            <a:rPr lang="en-US" sz="1300"/>
            <a:t>: 3–5%</a:t>
          </a:r>
        </a:p>
        <a:p>
          <a:endParaRPr lang="en-US" sz="1100"/>
        </a:p>
      </xdr:txBody>
    </xdr:sp>
    <xdr:clientData/>
  </xdr:twoCellAnchor>
  <xdr:twoCellAnchor>
    <xdr:from>
      <xdr:col>3</xdr:col>
      <xdr:colOff>1297296</xdr:colOff>
      <xdr:row>19</xdr:row>
      <xdr:rowOff>152400</xdr:rowOff>
    </xdr:from>
    <xdr:to>
      <xdr:col>15</xdr:col>
      <xdr:colOff>190369</xdr:colOff>
      <xdr:row>28</xdr:row>
      <xdr:rowOff>152400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C3B3949-053C-E78B-4199-4276C6F9BE65}"/>
            </a:ext>
          </a:extLst>
        </xdr:cNvPr>
        <xdr:cNvSpPr txBox="1"/>
      </xdr:nvSpPr>
      <xdr:spPr>
        <a:xfrm>
          <a:off x="4396096" y="6299200"/>
          <a:ext cx="15695173" cy="16002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500" b="0"/>
            <a:t>Your financial picture is evolving—and so should your budget. </a:t>
          </a:r>
        </a:p>
        <a:p>
          <a:r>
            <a:rPr lang="en-US" sz="1500" b="1" i="1"/>
            <a:t>These percentages are flexible starting points, not strict rules. </a:t>
          </a:r>
          <a:r>
            <a:rPr lang="en-US" sz="1500"/>
            <a:t>Things like career stage, living situation, family plans, and debt will shape how you spend.</a:t>
          </a:r>
        </a:p>
        <a:p>
          <a:r>
            <a:rPr lang="en-US" sz="1500"/>
            <a:t>Adjust your categories to match your current reality: </a:t>
          </a:r>
          <a:r>
            <a:rPr lang="en-US" sz="1500" b="1"/>
            <a:t>Planning a wedding or baby?</a:t>
          </a:r>
          <a:r>
            <a:rPr lang="en-US" sz="1500"/>
            <a:t> Prioritize childcare or family savings. </a:t>
          </a:r>
          <a:r>
            <a:rPr lang="en-US" sz="1500" b="1"/>
            <a:t>No student loans anymore?</a:t>
          </a:r>
          <a:r>
            <a:rPr lang="en-US" sz="1500"/>
            <a:t> Redirect that cash into retirement or investing. </a:t>
          </a:r>
        </a:p>
        <a:p>
          <a:r>
            <a:rPr lang="en-US" sz="1500" b="1"/>
            <a:t>Rent's high in your city?</a:t>
          </a:r>
          <a:r>
            <a:rPr lang="en-US" sz="1500"/>
            <a:t> Trim other expenses and build margin elsewhere.</a:t>
          </a:r>
        </a:p>
        <a:p>
          <a:r>
            <a:rPr lang="en-US" sz="1500"/>
            <a:t> </a:t>
          </a:r>
          <a:r>
            <a:rPr lang="en-US" sz="1500" b="1"/>
            <a:t>Extra income this month?</a:t>
          </a:r>
          <a:r>
            <a:rPr lang="en-US" sz="1500"/>
            <a:t> Use it to hit a long-term goal faster.</a:t>
          </a:r>
        </a:p>
        <a:p>
          <a:r>
            <a:rPr lang="en-US" sz="1500"/>
            <a:t>This template helps you stay intentional—even as your priorities shift.</a:t>
          </a:r>
        </a:p>
        <a:p>
          <a:endParaRPr lang="en-US" sz="1100"/>
        </a:p>
      </xdr:txBody>
    </xdr:sp>
    <xdr:clientData/>
  </xdr:twoCellAnchor>
  <xdr:twoCellAnchor>
    <xdr:from>
      <xdr:col>45</xdr:col>
      <xdr:colOff>0</xdr:colOff>
      <xdr:row>5</xdr:row>
      <xdr:rowOff>0</xdr:rowOff>
    </xdr:from>
    <xdr:to>
      <xdr:col>49</xdr:col>
      <xdr:colOff>92529</xdr:colOff>
      <xdr:row>5</xdr:row>
      <xdr:rowOff>310201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BE20471-16B7-44AA-BD63-2CE18B1F8F8F}"/>
            </a:ext>
          </a:extLst>
        </xdr:cNvPr>
        <xdr:cNvSpPr txBox="1"/>
      </xdr:nvSpPr>
      <xdr:spPr>
        <a:xfrm>
          <a:off x="42557700" y="2057400"/>
          <a:ext cx="2530929" cy="310201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500" b="1"/>
            <a:t>Add more</a:t>
          </a:r>
          <a:r>
            <a:rPr lang="en-US" sz="1500" b="1" baseline="0"/>
            <a:t> years when needed</a:t>
          </a:r>
          <a:endParaRPr lang="en-US" sz="15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4E7AFE-F330-4156-8C00-6E7CC837FCD8}" name="Table1" displayName="Table1" ref="A3:V15" totalsRowShown="0" headerRowDxfId="53" dataDxfId="51" headerRowBorderDxfId="52" tableBorderDxfId="50" totalsRowBorderDxfId="49" dataCellStyle="Currency">
  <autoFilter ref="A3:V15" xr:uid="{FE4E7AFE-F330-4156-8C00-6E7CC837FCD8}"/>
  <tableColumns count="22">
    <tableColumn id="1" xr3:uid="{37FF4804-329C-4C78-9986-0EF63E61F4A0}" name="Month" dataDxfId="48"/>
    <tableColumn id="2" xr3:uid="{CCB74100-A119-4A71-8746-94663D1D4EDB}" name="Income Post-Tax" dataDxfId="47" dataCellStyle="Currency"/>
    <tableColumn id="3" xr3:uid="{1BCB6FFC-00A3-4A6B-A380-D65F9149D6B0}" name="Other Income" dataDxfId="46" dataCellStyle="Currency"/>
    <tableColumn id="4" xr3:uid="{FF990890-E3D0-4E08-8A50-16261C149FA7}" name="Investments (Brokerage)" dataDxfId="45" dataCellStyle="Currency">
      <calculatedColumnFormula>$B4+$C4*D$19</calculatedColumnFormula>
    </tableColumn>
    <tableColumn id="17" xr3:uid="{9A1119F7-74E2-4014-8254-940F798A43FD}" name="Investment (IRA)" dataDxfId="44" dataCellStyle="Currency">
      <calculatedColumnFormula>$B4+$C4*E$19</calculatedColumnFormula>
    </tableColumn>
    <tableColumn id="5" xr3:uid="{F71D063D-48CF-42B9-956D-8BEE158C27BD}" name="Short Term Savings" dataDxfId="43" dataCellStyle="Currency">
      <calculatedColumnFormula>$B4+$C4*F$19</calculatedColumnFormula>
    </tableColumn>
    <tableColumn id="6" xr3:uid="{903A6587-F126-407A-A94E-5B3FD447CCDE}" name="Long Term Savings" dataDxfId="42" dataCellStyle="Currency">
      <calculatedColumnFormula>$B4+$C4*G$19</calculatedColumnFormula>
    </tableColumn>
    <tableColumn id="22" xr3:uid="{5AAE31CC-1B68-4753-8B84-285B87630FBF}" name="Rent/Mortgage" dataDxfId="41" dataCellStyle="Currency">
      <calculatedColumnFormula>$B4+$C4*H$19</calculatedColumnFormula>
    </tableColumn>
    <tableColumn id="7" xr3:uid="{C948FF96-DA00-442F-845F-D5AFAB5ED7F5}" name="Student Loans" dataDxfId="40" dataCellStyle="Currency">
      <calculatedColumnFormula>$B4+$C4*I$19</calculatedColumnFormula>
    </tableColumn>
    <tableColumn id="8" xr3:uid="{9FE5A57C-B707-42D7-9CA4-CBE62697EEE1}" name="Credit Card" dataDxfId="39" dataCellStyle="Currency">
      <calculatedColumnFormula>$B4+$C4*J$19</calculatedColumnFormula>
    </tableColumn>
    <tableColumn id="9" xr3:uid="{90844724-9890-4841-961E-969D30D9EF0C}" name="Car Payments" dataDxfId="38" dataCellStyle="Currency">
      <calculatedColumnFormula>$B4+$C4*K$19</calculatedColumnFormula>
    </tableColumn>
    <tableColumn id="20" xr3:uid="{0D71927B-C5F2-4EED-B053-419E730EF0D9}" name="Gas" dataDxfId="37" dataCellStyle="Currency">
      <calculatedColumnFormula>$B4+$C4*L$19</calculatedColumnFormula>
    </tableColumn>
    <tableColumn id="21" xr3:uid="{BD990876-3AA0-42A2-9C58-01D724228A36}" name="Groceries" dataDxfId="36" dataCellStyle="Currency">
      <calculatedColumnFormula>$B4+$C4*M$19</calculatedColumnFormula>
    </tableColumn>
    <tableColumn id="19" xr3:uid="{A234111F-3875-4480-A8F5-1E9644DD3D6C}" name="Internet &amp; Data" dataDxfId="35" dataCellStyle="Currency">
      <calculatedColumnFormula>$B4+$C4*N$19</calculatedColumnFormula>
    </tableColumn>
    <tableColumn id="10" xr3:uid="{BF973629-667B-44E7-AA2B-1309CA7369CC}" name="Subscriptions" dataDxfId="34" dataCellStyle="Currency">
      <calculatedColumnFormula>$B4+$C4*O$19</calculatedColumnFormula>
    </tableColumn>
    <tableColumn id="11" xr3:uid="{7FB053B8-DD1C-4882-BFEC-E3C86A32C16D}" name="Health and Wellness" dataDxfId="33" dataCellStyle="Currency">
      <calculatedColumnFormula>$B4+$C4*P$19</calculatedColumnFormula>
    </tableColumn>
    <tableColumn id="12" xr3:uid="{23C0D455-2EBD-4F96-BF1C-B6775FA2F342}" name="Children &amp; Family" dataDxfId="32" dataCellStyle="Currency">
      <calculatedColumnFormula>$B4+$C4*Q$19</calculatedColumnFormula>
    </tableColumn>
    <tableColumn id="15" xr3:uid="{54B84547-E5AC-4D85-B267-345B4A33769A}" name="Childcare" dataDxfId="31" dataCellStyle="Currency">
      <calculatedColumnFormula>$B4+$C4*R$19</calculatedColumnFormula>
    </tableColumn>
    <tableColumn id="16" xr3:uid="{37D2FFA7-3B8C-4611-B5E6-49EFCD3C2197}" name="Pets" dataDxfId="30" dataCellStyle="Currency">
      <calculatedColumnFormula>$B4+$C4*S$19</calculatedColumnFormula>
    </tableColumn>
    <tableColumn id="23" xr3:uid="{7ABF0C6F-E03B-4ACC-8FF9-8878EB8CDB61}" name="Column1" dataDxfId="29" dataCellStyle="Currency"/>
    <tableColumn id="14" xr3:uid="{62376CDC-A68D-45BB-B1B5-FCA99E24D587}" name="Other (make note)" dataDxfId="28" dataCellStyle="Currency">
      <calculatedColumnFormula>$B4+$C4*U$19</calculatedColumnFormula>
    </tableColumn>
    <tableColumn id="13" xr3:uid="{CA8F76C1-E050-49B1-A3D2-9C1C20AEE799}" name="Notes " dataDxfId="27" dataCellStyle="Currency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E9FF5D-BC1B-464C-B884-9C6BEA588315}" name="Table13" displayName="Table13" ref="W3:AR15" totalsRowShown="0" headerRowDxfId="26" dataDxfId="25" headerRowBorderDxfId="23" tableBorderDxfId="24" totalsRowBorderDxfId="22" dataCellStyle="Currency">
  <autoFilter ref="W3:AR15" xr:uid="{E9E9FF5D-BC1B-464C-B884-9C6BEA588315}"/>
  <tableColumns count="22">
    <tableColumn id="1" xr3:uid="{1ADCDB28-36D4-4B94-B644-4DCB889922D2}" name="Month" dataDxfId="21"/>
    <tableColumn id="2" xr3:uid="{FC925923-2153-42B3-A7BA-5838FEB678EF}" name="Income Post-Tax" dataDxfId="20" dataCellStyle="Currency"/>
    <tableColumn id="3" xr3:uid="{E06167F9-E50D-40CD-A85E-E21653731BCC}" name="Other Income" dataDxfId="19" dataCellStyle="Currency"/>
    <tableColumn id="4" xr3:uid="{BD1C9152-A389-49E5-BD43-97C9ACFE0727}" name="Investments (Brokerage)" dataDxfId="18" dataCellStyle="Currency">
      <calculatedColumnFormula>$B4+$C4*Z$19</calculatedColumnFormula>
    </tableColumn>
    <tableColumn id="17" xr3:uid="{2825BD5E-8358-4CA6-A7EB-577E4CC25F5D}" name="Investment (IRA)" dataDxfId="17" dataCellStyle="Currency">
      <calculatedColumnFormula>$B4+$C4*AA$19</calculatedColumnFormula>
    </tableColumn>
    <tableColumn id="5" xr3:uid="{8D244ED0-29BE-41DB-9084-8E7B85AA4D43}" name="Short Term Savings" dataDxfId="16" dataCellStyle="Currency">
      <calculatedColumnFormula>$B4+$C4*AB$19</calculatedColumnFormula>
    </tableColumn>
    <tableColumn id="6" xr3:uid="{3D71B808-1714-49A5-8724-732B29E5D97D}" name="Long Term Savings" dataDxfId="15" dataCellStyle="Currency">
      <calculatedColumnFormula>$B4+$C4*AC$19</calculatedColumnFormula>
    </tableColumn>
    <tableColumn id="22" xr3:uid="{201B2DE3-776F-4715-B9D1-10B8BEC16A40}" name="Rent/Mortgage" dataDxfId="14" dataCellStyle="Currency">
      <calculatedColumnFormula>$B4+$C4*AD$19</calculatedColumnFormula>
    </tableColumn>
    <tableColumn id="7" xr3:uid="{B7CAA937-31E3-4A84-B285-1198DDE1BE71}" name="Student Loans" dataDxfId="13" dataCellStyle="Currency">
      <calculatedColumnFormula>$B4+$C4*AE$19</calculatedColumnFormula>
    </tableColumn>
    <tableColumn id="8" xr3:uid="{B3BAE622-CE22-436F-A38E-E481AB182F14}" name="Credit Card" dataDxfId="12" dataCellStyle="Currency">
      <calculatedColumnFormula>$B4+$C4*AF$19</calculatedColumnFormula>
    </tableColumn>
    <tableColumn id="9" xr3:uid="{55F9B356-3402-44FF-B44A-7B60B4297E7B}" name="Car Payments" dataDxfId="11" dataCellStyle="Currency">
      <calculatedColumnFormula>$B4+$C4*AG$19</calculatedColumnFormula>
    </tableColumn>
    <tableColumn id="20" xr3:uid="{7A93CFB8-5F6F-4440-8CFC-125461A07D26}" name="Gas" dataDxfId="10" dataCellStyle="Currency">
      <calculatedColumnFormula>$B4+$C4*AH$19</calculatedColumnFormula>
    </tableColumn>
    <tableColumn id="21" xr3:uid="{DD8FC912-67C1-4D1D-B35E-B7766770A88E}" name="Groceries" dataDxfId="9" dataCellStyle="Currency">
      <calculatedColumnFormula>$B4+$C4*AI$19</calculatedColumnFormula>
    </tableColumn>
    <tableColumn id="19" xr3:uid="{877F1FDA-ED2C-4C30-9BF0-ADC6BA40FF40}" name="Internet &amp; Data" dataDxfId="8" dataCellStyle="Currency">
      <calculatedColumnFormula>$B4+$C4*AJ$19</calculatedColumnFormula>
    </tableColumn>
    <tableColumn id="10" xr3:uid="{A053B057-4041-4611-8087-E466F7407D68}" name="Subscriptions" dataDxfId="7" dataCellStyle="Currency">
      <calculatedColumnFormula>$B4+$C4*AK$19</calculatedColumnFormula>
    </tableColumn>
    <tableColumn id="11" xr3:uid="{E6080456-FAEC-46D1-9635-3A3FF93879A6}" name="Health and Wellness" dataDxfId="6" dataCellStyle="Currency">
      <calculatedColumnFormula>$B4+$C4*AL$19</calculatedColumnFormula>
    </tableColumn>
    <tableColumn id="12" xr3:uid="{CC42FF71-6FFB-4D2E-8BFC-BF48B93320B0}" name="Children &amp; Family" dataDxfId="5" dataCellStyle="Currency">
      <calculatedColumnFormula>$B4+$C4*AM$19</calculatedColumnFormula>
    </tableColumn>
    <tableColumn id="15" xr3:uid="{BB029F3F-E469-4D06-9111-E35E058AAFC1}" name="Childcare" dataDxfId="4" dataCellStyle="Currency">
      <calculatedColumnFormula>$B4+$C4*AN$19</calculatedColumnFormula>
    </tableColumn>
    <tableColumn id="16" xr3:uid="{D65FDB25-12B3-4CC4-9B1B-6876BB979632}" name="Pets" dataDxfId="3" dataCellStyle="Currency">
      <calculatedColumnFormula>$B4+$C4*AO$19</calculatedColumnFormula>
    </tableColumn>
    <tableColumn id="23" xr3:uid="{83407FE8-C89D-4BC5-A480-99201408E7A3}" name="Column1" dataDxfId="2" dataCellStyle="Currency"/>
    <tableColumn id="14" xr3:uid="{06234B79-6E59-4845-B631-0F3983396AB4}" name="Other (make note)" dataDxfId="1" dataCellStyle="Currency">
      <calculatedColumnFormula>$B4+$C4*AQ$19</calculatedColumnFormula>
    </tableColumn>
    <tableColumn id="13" xr3:uid="{E1FE6F25-5A62-47D1-8A0E-BA3E24631370}" name="Notes " dataDxfId="0" dataCellStyle="Currency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9"/>
  <sheetViews>
    <sheetView tabSelected="1" zoomScale="75" zoomScaleNormal="75" workbookViewId="0">
      <selection activeCell="H38" sqref="H38"/>
    </sheetView>
  </sheetViews>
  <sheetFormatPr defaultRowHeight="14.4" x14ac:dyDescent="0.3"/>
  <cols>
    <col min="1" max="1" width="10" bestFit="1" customWidth="1"/>
    <col min="2" max="2" width="17.33203125" customWidth="1"/>
    <col min="3" max="3" width="17.77734375" bestFit="1" customWidth="1"/>
    <col min="4" max="4" width="25.6640625" bestFit="1" customWidth="1"/>
    <col min="5" max="5" width="18.5546875" bestFit="1" customWidth="1"/>
    <col min="6" max="6" width="20.77734375" bestFit="1" customWidth="1"/>
    <col min="7" max="7" width="20.109375" bestFit="1" customWidth="1"/>
    <col min="8" max="8" width="16.88671875" bestFit="1" customWidth="1"/>
    <col min="9" max="9" width="16.6640625" bestFit="1" customWidth="1"/>
    <col min="10" max="10" width="16.77734375" bestFit="1" customWidth="1"/>
    <col min="11" max="11" width="23.109375" bestFit="1" customWidth="1"/>
    <col min="12" max="14" width="23.109375" customWidth="1"/>
    <col min="15" max="15" width="16.21875" bestFit="1" customWidth="1"/>
    <col min="16" max="16" width="21.88671875" bestFit="1" customWidth="1"/>
    <col min="17" max="17" width="19.5546875" bestFit="1" customWidth="1"/>
    <col min="18" max="18" width="12.44140625" bestFit="1" customWidth="1"/>
    <col min="19" max="19" width="8" bestFit="1" customWidth="1"/>
    <col min="20" max="20" width="12.21875" bestFit="1" customWidth="1"/>
    <col min="21" max="21" width="20" bestFit="1" customWidth="1"/>
    <col min="22" max="22" width="29" customWidth="1"/>
    <col min="23" max="23" width="11.109375" bestFit="1" customWidth="1"/>
  </cols>
  <sheetData>
    <row r="1" spans="1:44" ht="69" customHeight="1" thickBot="1" x14ac:dyDescent="0.35">
      <c r="A1" s="21" t="s">
        <v>15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1" t="s">
        <v>41</v>
      </c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</row>
    <row r="2" spans="1:44" ht="18" customHeight="1" x14ac:dyDescent="0.3">
      <c r="A2" s="10"/>
      <c r="B2" s="23" t="s">
        <v>35</v>
      </c>
      <c r="C2" s="23"/>
      <c r="D2" s="24" t="s">
        <v>36</v>
      </c>
      <c r="E2" s="24"/>
      <c r="F2" s="24"/>
      <c r="G2" s="24"/>
      <c r="H2" s="25" t="s">
        <v>37</v>
      </c>
      <c r="I2" s="25"/>
      <c r="J2" s="25"/>
      <c r="K2" s="25"/>
      <c r="L2" s="25"/>
      <c r="M2" s="25"/>
      <c r="N2" s="25"/>
      <c r="O2" s="25"/>
      <c r="P2" s="25"/>
      <c r="Q2" s="26" t="s">
        <v>38</v>
      </c>
      <c r="R2" s="26"/>
      <c r="S2" s="26"/>
      <c r="T2" s="20" t="s">
        <v>40</v>
      </c>
      <c r="U2" s="10"/>
      <c r="V2" s="10"/>
      <c r="W2" s="10"/>
      <c r="X2" s="23" t="s">
        <v>35</v>
      </c>
      <c r="Y2" s="23"/>
      <c r="Z2" s="24" t="s">
        <v>36</v>
      </c>
      <c r="AA2" s="24"/>
      <c r="AB2" s="24"/>
      <c r="AC2" s="24"/>
      <c r="AD2" s="25" t="s">
        <v>37</v>
      </c>
      <c r="AE2" s="25"/>
      <c r="AF2" s="25"/>
      <c r="AG2" s="25"/>
      <c r="AH2" s="25"/>
      <c r="AI2" s="25"/>
      <c r="AJ2" s="25"/>
      <c r="AK2" s="25"/>
      <c r="AL2" s="25"/>
      <c r="AM2" s="26" t="s">
        <v>38</v>
      </c>
      <c r="AN2" s="26"/>
      <c r="AO2" s="26"/>
      <c r="AP2" s="20" t="s">
        <v>40</v>
      </c>
      <c r="AQ2" s="10"/>
      <c r="AR2" s="10"/>
    </row>
    <row r="3" spans="1:44" ht="25.05" customHeight="1" x14ac:dyDescent="0.3">
      <c r="A3" s="3" t="s">
        <v>0</v>
      </c>
      <c r="B3" s="4" t="s">
        <v>1</v>
      </c>
      <c r="C3" s="4" t="s">
        <v>16</v>
      </c>
      <c r="D3" s="4" t="s">
        <v>17</v>
      </c>
      <c r="E3" s="4" t="s">
        <v>18</v>
      </c>
      <c r="F3" s="4" t="s">
        <v>19</v>
      </c>
      <c r="G3" s="4" t="s">
        <v>20</v>
      </c>
      <c r="H3" s="4" t="s">
        <v>24</v>
      </c>
      <c r="I3" s="4" t="s">
        <v>22</v>
      </c>
      <c r="J3" s="4" t="s">
        <v>21</v>
      </c>
      <c r="K3" s="4" t="s">
        <v>27</v>
      </c>
      <c r="L3" s="4" t="s">
        <v>29</v>
      </c>
      <c r="M3" s="4" t="s">
        <v>30</v>
      </c>
      <c r="N3" s="4" t="s">
        <v>25</v>
      </c>
      <c r="O3" s="4" t="s">
        <v>26</v>
      </c>
      <c r="P3" s="5" t="s">
        <v>28</v>
      </c>
      <c r="Q3" s="5" t="s">
        <v>31</v>
      </c>
      <c r="R3" s="5" t="s">
        <v>32</v>
      </c>
      <c r="S3" s="5" t="s">
        <v>33</v>
      </c>
      <c r="T3" s="5" t="s">
        <v>23</v>
      </c>
      <c r="U3" s="5" t="s">
        <v>34</v>
      </c>
      <c r="V3" s="5" t="s">
        <v>14</v>
      </c>
      <c r="W3" s="3" t="s">
        <v>0</v>
      </c>
      <c r="X3" s="4" t="s">
        <v>1</v>
      </c>
      <c r="Y3" s="4" t="s">
        <v>16</v>
      </c>
      <c r="Z3" s="4" t="s">
        <v>17</v>
      </c>
      <c r="AA3" s="4" t="s">
        <v>18</v>
      </c>
      <c r="AB3" s="4" t="s">
        <v>19</v>
      </c>
      <c r="AC3" s="4" t="s">
        <v>20</v>
      </c>
      <c r="AD3" s="4" t="s">
        <v>24</v>
      </c>
      <c r="AE3" s="4" t="s">
        <v>22</v>
      </c>
      <c r="AF3" s="4" t="s">
        <v>21</v>
      </c>
      <c r="AG3" s="4" t="s">
        <v>27</v>
      </c>
      <c r="AH3" s="4" t="s">
        <v>29</v>
      </c>
      <c r="AI3" s="4" t="s">
        <v>30</v>
      </c>
      <c r="AJ3" s="4" t="s">
        <v>25</v>
      </c>
      <c r="AK3" s="4" t="s">
        <v>26</v>
      </c>
      <c r="AL3" s="5" t="s">
        <v>28</v>
      </c>
      <c r="AM3" s="5" t="s">
        <v>31</v>
      </c>
      <c r="AN3" s="5" t="s">
        <v>32</v>
      </c>
      <c r="AO3" s="5" t="s">
        <v>33</v>
      </c>
      <c r="AP3" s="5" t="s">
        <v>23</v>
      </c>
      <c r="AQ3" s="5" t="s">
        <v>34</v>
      </c>
      <c r="AR3" s="5" t="s">
        <v>14</v>
      </c>
    </row>
    <row r="4" spans="1:44" ht="25.05" customHeight="1" x14ac:dyDescent="0.3">
      <c r="A4" s="6" t="s">
        <v>2</v>
      </c>
      <c r="B4" s="7"/>
      <c r="C4" s="7"/>
      <c r="D4" s="7">
        <f t="shared" ref="D4:S15" si="0">$B4+$C4*D$19</f>
        <v>0</v>
      </c>
      <c r="E4" s="7">
        <f t="shared" si="0"/>
        <v>0</v>
      </c>
      <c r="F4" s="7">
        <f t="shared" si="0"/>
        <v>0</v>
      </c>
      <c r="G4" s="7">
        <f t="shared" si="0"/>
        <v>0</v>
      </c>
      <c r="H4" s="7">
        <f t="shared" si="0"/>
        <v>0</v>
      </c>
      <c r="I4" s="7">
        <f t="shared" si="0"/>
        <v>0</v>
      </c>
      <c r="J4" s="7">
        <f t="shared" si="0"/>
        <v>0</v>
      </c>
      <c r="K4" s="7">
        <f t="shared" si="0"/>
        <v>0</v>
      </c>
      <c r="L4" s="7">
        <f t="shared" si="0"/>
        <v>0</v>
      </c>
      <c r="M4" s="7">
        <f t="shared" si="0"/>
        <v>0</v>
      </c>
      <c r="N4" s="7">
        <f t="shared" si="0"/>
        <v>0</v>
      </c>
      <c r="O4" s="7">
        <f t="shared" si="0"/>
        <v>0</v>
      </c>
      <c r="P4" s="7">
        <f t="shared" si="0"/>
        <v>0</v>
      </c>
      <c r="Q4" s="7">
        <f t="shared" si="0"/>
        <v>0</v>
      </c>
      <c r="R4" s="7">
        <f t="shared" si="0"/>
        <v>0</v>
      </c>
      <c r="S4" s="7">
        <f t="shared" si="0"/>
        <v>0</v>
      </c>
      <c r="T4" s="7"/>
      <c r="U4" s="7">
        <f t="shared" ref="U4:U15" si="1">$B4+$C4*U$19</f>
        <v>0</v>
      </c>
      <c r="V4" s="11"/>
      <c r="W4" s="6" t="s">
        <v>2</v>
      </c>
      <c r="X4" s="7"/>
      <c r="Y4" s="7"/>
      <c r="Z4" s="7">
        <f t="shared" ref="Z4:AO15" si="2">$B4+$C4*Z$19</f>
        <v>0</v>
      </c>
      <c r="AA4" s="7">
        <f t="shared" si="2"/>
        <v>0</v>
      </c>
      <c r="AB4" s="7">
        <f t="shared" si="2"/>
        <v>0</v>
      </c>
      <c r="AC4" s="7">
        <f t="shared" si="2"/>
        <v>0</v>
      </c>
      <c r="AD4" s="7">
        <f t="shared" si="2"/>
        <v>0</v>
      </c>
      <c r="AE4" s="7">
        <f t="shared" si="2"/>
        <v>0</v>
      </c>
      <c r="AF4" s="7">
        <f t="shared" si="2"/>
        <v>0</v>
      </c>
      <c r="AG4" s="7">
        <f t="shared" si="2"/>
        <v>0</v>
      </c>
      <c r="AH4" s="7">
        <f t="shared" si="2"/>
        <v>0</v>
      </c>
      <c r="AI4" s="7">
        <f t="shared" si="2"/>
        <v>0</v>
      </c>
      <c r="AJ4" s="7">
        <f t="shared" si="2"/>
        <v>0</v>
      </c>
      <c r="AK4" s="7">
        <f t="shared" si="2"/>
        <v>0</v>
      </c>
      <c r="AL4" s="7">
        <f t="shared" si="2"/>
        <v>0</v>
      </c>
      <c r="AM4" s="7">
        <f t="shared" si="2"/>
        <v>0</v>
      </c>
      <c r="AN4" s="7">
        <f t="shared" si="2"/>
        <v>0</v>
      </c>
      <c r="AO4" s="7">
        <f t="shared" si="2"/>
        <v>0</v>
      </c>
      <c r="AP4" s="7"/>
      <c r="AQ4" s="7">
        <f t="shared" ref="AQ4:AQ15" si="3">$B4+$C4*AQ$19</f>
        <v>0</v>
      </c>
      <c r="AR4" s="11"/>
    </row>
    <row r="5" spans="1:44" ht="25.05" customHeight="1" x14ac:dyDescent="0.3">
      <c r="A5" s="6" t="s">
        <v>3</v>
      </c>
      <c r="B5" s="7"/>
      <c r="C5" s="7"/>
      <c r="D5" s="7">
        <f t="shared" si="0"/>
        <v>0</v>
      </c>
      <c r="E5" s="7">
        <f t="shared" si="0"/>
        <v>0</v>
      </c>
      <c r="F5" s="7">
        <f t="shared" si="0"/>
        <v>0</v>
      </c>
      <c r="G5" s="7">
        <f t="shared" si="0"/>
        <v>0</v>
      </c>
      <c r="H5" s="7">
        <f t="shared" si="0"/>
        <v>0</v>
      </c>
      <c r="I5" s="7">
        <f t="shared" si="0"/>
        <v>0</v>
      </c>
      <c r="J5" s="7">
        <f t="shared" si="0"/>
        <v>0</v>
      </c>
      <c r="K5" s="7">
        <f t="shared" si="0"/>
        <v>0</v>
      </c>
      <c r="L5" s="7">
        <f t="shared" si="0"/>
        <v>0</v>
      </c>
      <c r="M5" s="7">
        <f t="shared" si="0"/>
        <v>0</v>
      </c>
      <c r="N5" s="7">
        <f t="shared" si="0"/>
        <v>0</v>
      </c>
      <c r="O5" s="7">
        <f t="shared" si="0"/>
        <v>0</v>
      </c>
      <c r="P5" s="7">
        <f t="shared" si="0"/>
        <v>0</v>
      </c>
      <c r="Q5" s="7">
        <f t="shared" si="0"/>
        <v>0</v>
      </c>
      <c r="R5" s="7">
        <f t="shared" si="0"/>
        <v>0</v>
      </c>
      <c r="S5" s="7">
        <f t="shared" si="0"/>
        <v>0</v>
      </c>
      <c r="T5" s="7"/>
      <c r="U5" s="7">
        <f t="shared" si="1"/>
        <v>0</v>
      </c>
      <c r="V5" s="12"/>
      <c r="W5" s="6" t="s">
        <v>3</v>
      </c>
      <c r="X5" s="7"/>
      <c r="Y5" s="7"/>
      <c r="Z5" s="7">
        <f t="shared" si="2"/>
        <v>0</v>
      </c>
      <c r="AA5" s="7">
        <f t="shared" si="2"/>
        <v>0</v>
      </c>
      <c r="AB5" s="7">
        <f t="shared" si="2"/>
        <v>0</v>
      </c>
      <c r="AC5" s="7">
        <f t="shared" si="2"/>
        <v>0</v>
      </c>
      <c r="AD5" s="7">
        <f t="shared" si="2"/>
        <v>0</v>
      </c>
      <c r="AE5" s="7">
        <f t="shared" si="2"/>
        <v>0</v>
      </c>
      <c r="AF5" s="7">
        <f t="shared" si="2"/>
        <v>0</v>
      </c>
      <c r="AG5" s="7">
        <f t="shared" si="2"/>
        <v>0</v>
      </c>
      <c r="AH5" s="7">
        <f t="shared" si="2"/>
        <v>0</v>
      </c>
      <c r="AI5" s="7">
        <f t="shared" si="2"/>
        <v>0</v>
      </c>
      <c r="AJ5" s="7">
        <f t="shared" si="2"/>
        <v>0</v>
      </c>
      <c r="AK5" s="7">
        <f t="shared" si="2"/>
        <v>0</v>
      </c>
      <c r="AL5" s="7">
        <f t="shared" si="2"/>
        <v>0</v>
      </c>
      <c r="AM5" s="7">
        <f t="shared" si="2"/>
        <v>0</v>
      </c>
      <c r="AN5" s="7">
        <f t="shared" si="2"/>
        <v>0</v>
      </c>
      <c r="AO5" s="7">
        <f t="shared" si="2"/>
        <v>0</v>
      </c>
      <c r="AP5" s="7"/>
      <c r="AQ5" s="7">
        <f t="shared" si="3"/>
        <v>0</v>
      </c>
      <c r="AR5" s="12"/>
    </row>
    <row r="6" spans="1:44" ht="25.05" customHeight="1" x14ac:dyDescent="0.3">
      <c r="A6" s="6" t="s">
        <v>4</v>
      </c>
      <c r="B6" s="7"/>
      <c r="C6" s="7"/>
      <c r="D6" s="7">
        <f t="shared" si="0"/>
        <v>0</v>
      </c>
      <c r="E6" s="7">
        <f t="shared" si="0"/>
        <v>0</v>
      </c>
      <c r="F6" s="7">
        <f t="shared" si="0"/>
        <v>0</v>
      </c>
      <c r="G6" s="7">
        <f t="shared" si="0"/>
        <v>0</v>
      </c>
      <c r="H6" s="7">
        <f t="shared" si="0"/>
        <v>0</v>
      </c>
      <c r="I6" s="7">
        <f t="shared" si="0"/>
        <v>0</v>
      </c>
      <c r="J6" s="7">
        <f t="shared" si="0"/>
        <v>0</v>
      </c>
      <c r="K6" s="7">
        <f t="shared" si="0"/>
        <v>0</v>
      </c>
      <c r="L6" s="7">
        <f t="shared" si="0"/>
        <v>0</v>
      </c>
      <c r="M6" s="7">
        <f t="shared" si="0"/>
        <v>0</v>
      </c>
      <c r="N6" s="7">
        <f t="shared" si="0"/>
        <v>0</v>
      </c>
      <c r="O6" s="7">
        <f t="shared" si="0"/>
        <v>0</v>
      </c>
      <c r="P6" s="7">
        <f t="shared" si="0"/>
        <v>0</v>
      </c>
      <c r="Q6" s="7">
        <f t="shared" si="0"/>
        <v>0</v>
      </c>
      <c r="R6" s="7">
        <f t="shared" si="0"/>
        <v>0</v>
      </c>
      <c r="S6" s="7">
        <f t="shared" si="0"/>
        <v>0</v>
      </c>
      <c r="T6" s="7"/>
      <c r="U6" s="7">
        <f t="shared" si="1"/>
        <v>0</v>
      </c>
      <c r="V6" s="12"/>
      <c r="W6" s="6" t="s">
        <v>4</v>
      </c>
      <c r="X6" s="7"/>
      <c r="Y6" s="7"/>
      <c r="Z6" s="7">
        <f t="shared" si="2"/>
        <v>0</v>
      </c>
      <c r="AA6" s="7">
        <f t="shared" si="2"/>
        <v>0</v>
      </c>
      <c r="AB6" s="7">
        <f t="shared" si="2"/>
        <v>0</v>
      </c>
      <c r="AC6" s="7">
        <f t="shared" si="2"/>
        <v>0</v>
      </c>
      <c r="AD6" s="7">
        <f t="shared" si="2"/>
        <v>0</v>
      </c>
      <c r="AE6" s="7">
        <f t="shared" si="2"/>
        <v>0</v>
      </c>
      <c r="AF6" s="7">
        <f t="shared" si="2"/>
        <v>0</v>
      </c>
      <c r="AG6" s="7">
        <f t="shared" si="2"/>
        <v>0</v>
      </c>
      <c r="AH6" s="7">
        <f t="shared" si="2"/>
        <v>0</v>
      </c>
      <c r="AI6" s="7">
        <f t="shared" si="2"/>
        <v>0</v>
      </c>
      <c r="AJ6" s="7">
        <f t="shared" si="2"/>
        <v>0</v>
      </c>
      <c r="AK6" s="7">
        <f t="shared" si="2"/>
        <v>0</v>
      </c>
      <c r="AL6" s="7">
        <f t="shared" si="2"/>
        <v>0</v>
      </c>
      <c r="AM6" s="7">
        <f t="shared" si="2"/>
        <v>0</v>
      </c>
      <c r="AN6" s="7">
        <f t="shared" si="2"/>
        <v>0</v>
      </c>
      <c r="AO6" s="7">
        <f t="shared" si="2"/>
        <v>0</v>
      </c>
      <c r="AP6" s="7"/>
      <c r="AQ6" s="7">
        <f t="shared" si="3"/>
        <v>0</v>
      </c>
      <c r="AR6" s="12"/>
    </row>
    <row r="7" spans="1:44" ht="25.05" customHeight="1" x14ac:dyDescent="0.3">
      <c r="A7" s="6" t="s">
        <v>5</v>
      </c>
      <c r="B7" s="7"/>
      <c r="C7" s="7"/>
      <c r="D7" s="7">
        <f t="shared" si="0"/>
        <v>0</v>
      </c>
      <c r="E7" s="7">
        <f t="shared" si="0"/>
        <v>0</v>
      </c>
      <c r="F7" s="7">
        <f t="shared" si="0"/>
        <v>0</v>
      </c>
      <c r="G7" s="7">
        <f t="shared" si="0"/>
        <v>0</v>
      </c>
      <c r="H7" s="7">
        <f t="shared" si="0"/>
        <v>0</v>
      </c>
      <c r="I7" s="7">
        <f t="shared" si="0"/>
        <v>0</v>
      </c>
      <c r="J7" s="7">
        <f t="shared" si="0"/>
        <v>0</v>
      </c>
      <c r="K7" s="7">
        <f t="shared" si="0"/>
        <v>0</v>
      </c>
      <c r="L7" s="7">
        <f t="shared" si="0"/>
        <v>0</v>
      </c>
      <c r="M7" s="7">
        <f t="shared" si="0"/>
        <v>0</v>
      </c>
      <c r="N7" s="7">
        <f t="shared" si="0"/>
        <v>0</v>
      </c>
      <c r="O7" s="7">
        <f t="shared" si="0"/>
        <v>0</v>
      </c>
      <c r="P7" s="7">
        <f t="shared" si="0"/>
        <v>0</v>
      </c>
      <c r="Q7" s="7">
        <f t="shared" si="0"/>
        <v>0</v>
      </c>
      <c r="R7" s="7">
        <f t="shared" si="0"/>
        <v>0</v>
      </c>
      <c r="S7" s="7">
        <f t="shared" si="0"/>
        <v>0</v>
      </c>
      <c r="T7" s="7"/>
      <c r="U7" s="7">
        <f t="shared" si="1"/>
        <v>0</v>
      </c>
      <c r="V7" s="12"/>
      <c r="W7" s="6" t="s">
        <v>5</v>
      </c>
      <c r="X7" s="7"/>
      <c r="Y7" s="7"/>
      <c r="Z7" s="7">
        <f t="shared" si="2"/>
        <v>0</v>
      </c>
      <c r="AA7" s="7">
        <f t="shared" si="2"/>
        <v>0</v>
      </c>
      <c r="AB7" s="7">
        <f t="shared" si="2"/>
        <v>0</v>
      </c>
      <c r="AC7" s="7">
        <f t="shared" si="2"/>
        <v>0</v>
      </c>
      <c r="AD7" s="7">
        <f t="shared" si="2"/>
        <v>0</v>
      </c>
      <c r="AE7" s="7">
        <f t="shared" si="2"/>
        <v>0</v>
      </c>
      <c r="AF7" s="7">
        <f t="shared" si="2"/>
        <v>0</v>
      </c>
      <c r="AG7" s="7">
        <f t="shared" si="2"/>
        <v>0</v>
      </c>
      <c r="AH7" s="7">
        <f t="shared" si="2"/>
        <v>0</v>
      </c>
      <c r="AI7" s="7">
        <f t="shared" si="2"/>
        <v>0</v>
      </c>
      <c r="AJ7" s="7">
        <f t="shared" si="2"/>
        <v>0</v>
      </c>
      <c r="AK7" s="7">
        <f t="shared" si="2"/>
        <v>0</v>
      </c>
      <c r="AL7" s="7">
        <f t="shared" si="2"/>
        <v>0</v>
      </c>
      <c r="AM7" s="7">
        <f t="shared" si="2"/>
        <v>0</v>
      </c>
      <c r="AN7" s="7">
        <f t="shared" si="2"/>
        <v>0</v>
      </c>
      <c r="AO7" s="7">
        <f t="shared" si="2"/>
        <v>0</v>
      </c>
      <c r="AP7" s="7"/>
      <c r="AQ7" s="7">
        <f t="shared" si="3"/>
        <v>0</v>
      </c>
      <c r="AR7" s="12"/>
    </row>
    <row r="8" spans="1:44" ht="25.05" customHeight="1" x14ac:dyDescent="0.3">
      <c r="A8" s="6" t="s">
        <v>6</v>
      </c>
      <c r="B8" s="7"/>
      <c r="C8" s="7"/>
      <c r="D8" s="7">
        <f t="shared" si="0"/>
        <v>0</v>
      </c>
      <c r="E8" s="7">
        <f t="shared" si="0"/>
        <v>0</v>
      </c>
      <c r="F8" s="7">
        <f t="shared" si="0"/>
        <v>0</v>
      </c>
      <c r="G8" s="7">
        <f t="shared" si="0"/>
        <v>0</v>
      </c>
      <c r="H8" s="7">
        <f t="shared" si="0"/>
        <v>0</v>
      </c>
      <c r="I8" s="7">
        <f t="shared" si="0"/>
        <v>0</v>
      </c>
      <c r="J8" s="7">
        <f t="shared" si="0"/>
        <v>0</v>
      </c>
      <c r="K8" s="7">
        <f t="shared" si="0"/>
        <v>0</v>
      </c>
      <c r="L8" s="7">
        <f t="shared" si="0"/>
        <v>0</v>
      </c>
      <c r="M8" s="7">
        <f t="shared" si="0"/>
        <v>0</v>
      </c>
      <c r="N8" s="7">
        <f t="shared" si="0"/>
        <v>0</v>
      </c>
      <c r="O8" s="7">
        <f t="shared" si="0"/>
        <v>0</v>
      </c>
      <c r="P8" s="7">
        <f t="shared" si="0"/>
        <v>0</v>
      </c>
      <c r="Q8" s="7">
        <f t="shared" si="0"/>
        <v>0</v>
      </c>
      <c r="R8" s="7">
        <f t="shared" si="0"/>
        <v>0</v>
      </c>
      <c r="S8" s="7">
        <f t="shared" si="0"/>
        <v>0</v>
      </c>
      <c r="T8" s="7"/>
      <c r="U8" s="7">
        <f t="shared" si="1"/>
        <v>0</v>
      </c>
      <c r="V8" s="12"/>
      <c r="W8" s="6" t="s">
        <v>6</v>
      </c>
      <c r="X8" s="7"/>
      <c r="Y8" s="7"/>
      <c r="Z8" s="7">
        <f t="shared" si="2"/>
        <v>0</v>
      </c>
      <c r="AA8" s="7">
        <f t="shared" si="2"/>
        <v>0</v>
      </c>
      <c r="AB8" s="7">
        <f t="shared" si="2"/>
        <v>0</v>
      </c>
      <c r="AC8" s="7">
        <f t="shared" si="2"/>
        <v>0</v>
      </c>
      <c r="AD8" s="7">
        <f t="shared" si="2"/>
        <v>0</v>
      </c>
      <c r="AE8" s="7">
        <f t="shared" si="2"/>
        <v>0</v>
      </c>
      <c r="AF8" s="7">
        <f t="shared" si="2"/>
        <v>0</v>
      </c>
      <c r="AG8" s="7">
        <f t="shared" si="2"/>
        <v>0</v>
      </c>
      <c r="AH8" s="7">
        <f t="shared" si="2"/>
        <v>0</v>
      </c>
      <c r="AI8" s="7">
        <f t="shared" si="2"/>
        <v>0</v>
      </c>
      <c r="AJ8" s="7">
        <f t="shared" si="2"/>
        <v>0</v>
      </c>
      <c r="AK8" s="7">
        <f t="shared" si="2"/>
        <v>0</v>
      </c>
      <c r="AL8" s="7">
        <f t="shared" si="2"/>
        <v>0</v>
      </c>
      <c r="AM8" s="7">
        <f t="shared" si="2"/>
        <v>0</v>
      </c>
      <c r="AN8" s="7">
        <f t="shared" si="2"/>
        <v>0</v>
      </c>
      <c r="AO8" s="7">
        <f t="shared" si="2"/>
        <v>0</v>
      </c>
      <c r="AP8" s="7"/>
      <c r="AQ8" s="7">
        <f t="shared" si="3"/>
        <v>0</v>
      </c>
      <c r="AR8" s="12"/>
    </row>
    <row r="9" spans="1:44" ht="25.05" customHeight="1" x14ac:dyDescent="0.3">
      <c r="A9" s="6" t="s">
        <v>7</v>
      </c>
      <c r="B9" s="7"/>
      <c r="C9" s="7"/>
      <c r="D9" s="7">
        <f t="shared" si="0"/>
        <v>0</v>
      </c>
      <c r="E9" s="7">
        <f t="shared" si="0"/>
        <v>0</v>
      </c>
      <c r="F9" s="7">
        <f t="shared" si="0"/>
        <v>0</v>
      </c>
      <c r="G9" s="7">
        <f t="shared" si="0"/>
        <v>0</v>
      </c>
      <c r="H9" s="7">
        <f t="shared" si="0"/>
        <v>0</v>
      </c>
      <c r="I9" s="7">
        <f t="shared" si="0"/>
        <v>0</v>
      </c>
      <c r="J9" s="7">
        <f t="shared" si="0"/>
        <v>0</v>
      </c>
      <c r="K9" s="7">
        <f t="shared" si="0"/>
        <v>0</v>
      </c>
      <c r="L9" s="7">
        <f t="shared" si="0"/>
        <v>0</v>
      </c>
      <c r="M9" s="7">
        <f t="shared" si="0"/>
        <v>0</v>
      </c>
      <c r="N9" s="7">
        <f t="shared" si="0"/>
        <v>0</v>
      </c>
      <c r="O9" s="7">
        <f t="shared" si="0"/>
        <v>0</v>
      </c>
      <c r="P9" s="7">
        <f t="shared" si="0"/>
        <v>0</v>
      </c>
      <c r="Q9" s="7">
        <f t="shared" si="0"/>
        <v>0</v>
      </c>
      <c r="R9" s="7">
        <f t="shared" si="0"/>
        <v>0</v>
      </c>
      <c r="S9" s="7">
        <f t="shared" si="0"/>
        <v>0</v>
      </c>
      <c r="T9" s="7"/>
      <c r="U9" s="7">
        <f t="shared" si="1"/>
        <v>0</v>
      </c>
      <c r="V9" s="12"/>
      <c r="W9" s="6" t="s">
        <v>7</v>
      </c>
      <c r="X9" s="7"/>
      <c r="Y9" s="7"/>
      <c r="Z9" s="7">
        <f t="shared" si="2"/>
        <v>0</v>
      </c>
      <c r="AA9" s="7">
        <f t="shared" si="2"/>
        <v>0</v>
      </c>
      <c r="AB9" s="7">
        <f t="shared" si="2"/>
        <v>0</v>
      </c>
      <c r="AC9" s="7">
        <f t="shared" si="2"/>
        <v>0</v>
      </c>
      <c r="AD9" s="7">
        <f t="shared" si="2"/>
        <v>0</v>
      </c>
      <c r="AE9" s="7">
        <f t="shared" si="2"/>
        <v>0</v>
      </c>
      <c r="AF9" s="7">
        <f t="shared" si="2"/>
        <v>0</v>
      </c>
      <c r="AG9" s="7">
        <f t="shared" si="2"/>
        <v>0</v>
      </c>
      <c r="AH9" s="7">
        <f t="shared" si="2"/>
        <v>0</v>
      </c>
      <c r="AI9" s="7">
        <f t="shared" si="2"/>
        <v>0</v>
      </c>
      <c r="AJ9" s="7">
        <f t="shared" si="2"/>
        <v>0</v>
      </c>
      <c r="AK9" s="7">
        <f t="shared" si="2"/>
        <v>0</v>
      </c>
      <c r="AL9" s="7">
        <f t="shared" si="2"/>
        <v>0</v>
      </c>
      <c r="AM9" s="7">
        <f t="shared" si="2"/>
        <v>0</v>
      </c>
      <c r="AN9" s="7">
        <f t="shared" si="2"/>
        <v>0</v>
      </c>
      <c r="AO9" s="7">
        <f t="shared" si="2"/>
        <v>0</v>
      </c>
      <c r="AP9" s="7"/>
      <c r="AQ9" s="7">
        <f t="shared" si="3"/>
        <v>0</v>
      </c>
      <c r="AR9" s="12"/>
    </row>
    <row r="10" spans="1:44" ht="25.05" customHeight="1" x14ac:dyDescent="0.3">
      <c r="A10" s="6" t="s">
        <v>8</v>
      </c>
      <c r="B10" s="7"/>
      <c r="C10" s="7"/>
      <c r="D10" s="7">
        <f t="shared" si="0"/>
        <v>0</v>
      </c>
      <c r="E10" s="7">
        <f t="shared" si="0"/>
        <v>0</v>
      </c>
      <c r="F10" s="7">
        <f t="shared" si="0"/>
        <v>0</v>
      </c>
      <c r="G10" s="7">
        <f t="shared" si="0"/>
        <v>0</v>
      </c>
      <c r="H10" s="7">
        <f t="shared" si="0"/>
        <v>0</v>
      </c>
      <c r="I10" s="7">
        <f t="shared" si="0"/>
        <v>0</v>
      </c>
      <c r="J10" s="7">
        <f t="shared" si="0"/>
        <v>0</v>
      </c>
      <c r="K10" s="7">
        <f t="shared" si="0"/>
        <v>0</v>
      </c>
      <c r="L10" s="7">
        <f t="shared" si="0"/>
        <v>0</v>
      </c>
      <c r="M10" s="7">
        <f t="shared" si="0"/>
        <v>0</v>
      </c>
      <c r="N10" s="7">
        <f t="shared" si="0"/>
        <v>0</v>
      </c>
      <c r="O10" s="7">
        <f t="shared" si="0"/>
        <v>0</v>
      </c>
      <c r="P10" s="7">
        <f t="shared" si="0"/>
        <v>0</v>
      </c>
      <c r="Q10" s="7">
        <f t="shared" si="0"/>
        <v>0</v>
      </c>
      <c r="R10" s="7">
        <f t="shared" si="0"/>
        <v>0</v>
      </c>
      <c r="S10" s="7">
        <f t="shared" si="0"/>
        <v>0</v>
      </c>
      <c r="T10" s="7"/>
      <c r="U10" s="7">
        <f t="shared" si="1"/>
        <v>0</v>
      </c>
      <c r="V10" s="12"/>
      <c r="W10" s="6" t="s">
        <v>8</v>
      </c>
      <c r="X10" s="7"/>
      <c r="Y10" s="7"/>
      <c r="Z10" s="7">
        <f t="shared" si="2"/>
        <v>0</v>
      </c>
      <c r="AA10" s="7">
        <f t="shared" si="2"/>
        <v>0</v>
      </c>
      <c r="AB10" s="7">
        <f t="shared" si="2"/>
        <v>0</v>
      </c>
      <c r="AC10" s="7">
        <f t="shared" si="2"/>
        <v>0</v>
      </c>
      <c r="AD10" s="7">
        <f t="shared" si="2"/>
        <v>0</v>
      </c>
      <c r="AE10" s="7">
        <f t="shared" si="2"/>
        <v>0</v>
      </c>
      <c r="AF10" s="7">
        <f t="shared" si="2"/>
        <v>0</v>
      </c>
      <c r="AG10" s="7">
        <f t="shared" si="2"/>
        <v>0</v>
      </c>
      <c r="AH10" s="7">
        <f t="shared" si="2"/>
        <v>0</v>
      </c>
      <c r="AI10" s="7">
        <f t="shared" si="2"/>
        <v>0</v>
      </c>
      <c r="AJ10" s="7">
        <f t="shared" si="2"/>
        <v>0</v>
      </c>
      <c r="AK10" s="7">
        <f t="shared" si="2"/>
        <v>0</v>
      </c>
      <c r="AL10" s="7">
        <f t="shared" si="2"/>
        <v>0</v>
      </c>
      <c r="AM10" s="7">
        <f t="shared" si="2"/>
        <v>0</v>
      </c>
      <c r="AN10" s="7">
        <f t="shared" si="2"/>
        <v>0</v>
      </c>
      <c r="AO10" s="7">
        <f t="shared" si="2"/>
        <v>0</v>
      </c>
      <c r="AP10" s="7"/>
      <c r="AQ10" s="7">
        <f t="shared" si="3"/>
        <v>0</v>
      </c>
      <c r="AR10" s="12"/>
    </row>
    <row r="11" spans="1:44" ht="25.05" customHeight="1" x14ac:dyDescent="0.3">
      <c r="A11" s="6" t="s">
        <v>9</v>
      </c>
      <c r="B11" s="7"/>
      <c r="C11" s="7"/>
      <c r="D11" s="7">
        <f t="shared" si="0"/>
        <v>0</v>
      </c>
      <c r="E11" s="7">
        <f t="shared" si="0"/>
        <v>0</v>
      </c>
      <c r="F11" s="7">
        <f t="shared" si="0"/>
        <v>0</v>
      </c>
      <c r="G11" s="7">
        <f t="shared" si="0"/>
        <v>0</v>
      </c>
      <c r="H11" s="7">
        <f t="shared" si="0"/>
        <v>0</v>
      </c>
      <c r="I11" s="7">
        <f t="shared" si="0"/>
        <v>0</v>
      </c>
      <c r="J11" s="7">
        <f t="shared" si="0"/>
        <v>0</v>
      </c>
      <c r="K11" s="7">
        <f t="shared" si="0"/>
        <v>0</v>
      </c>
      <c r="L11" s="7">
        <f t="shared" si="0"/>
        <v>0</v>
      </c>
      <c r="M11" s="7">
        <f t="shared" si="0"/>
        <v>0</v>
      </c>
      <c r="N11" s="7">
        <f t="shared" si="0"/>
        <v>0</v>
      </c>
      <c r="O11" s="7">
        <f t="shared" si="0"/>
        <v>0</v>
      </c>
      <c r="P11" s="7">
        <f t="shared" si="0"/>
        <v>0</v>
      </c>
      <c r="Q11" s="7">
        <f t="shared" si="0"/>
        <v>0</v>
      </c>
      <c r="R11" s="7">
        <f t="shared" si="0"/>
        <v>0</v>
      </c>
      <c r="S11" s="7">
        <f t="shared" si="0"/>
        <v>0</v>
      </c>
      <c r="T11" s="7"/>
      <c r="U11" s="7">
        <f t="shared" si="1"/>
        <v>0</v>
      </c>
      <c r="V11" s="12"/>
      <c r="W11" s="6" t="s">
        <v>9</v>
      </c>
      <c r="X11" s="7"/>
      <c r="Y11" s="7"/>
      <c r="Z11" s="7">
        <f t="shared" si="2"/>
        <v>0</v>
      </c>
      <c r="AA11" s="7">
        <f t="shared" si="2"/>
        <v>0</v>
      </c>
      <c r="AB11" s="7">
        <f t="shared" si="2"/>
        <v>0</v>
      </c>
      <c r="AC11" s="7">
        <f t="shared" si="2"/>
        <v>0</v>
      </c>
      <c r="AD11" s="7">
        <f t="shared" si="2"/>
        <v>0</v>
      </c>
      <c r="AE11" s="7">
        <f t="shared" si="2"/>
        <v>0</v>
      </c>
      <c r="AF11" s="7">
        <f t="shared" si="2"/>
        <v>0</v>
      </c>
      <c r="AG11" s="7">
        <f t="shared" si="2"/>
        <v>0</v>
      </c>
      <c r="AH11" s="7">
        <f t="shared" si="2"/>
        <v>0</v>
      </c>
      <c r="AI11" s="7">
        <f t="shared" si="2"/>
        <v>0</v>
      </c>
      <c r="AJ11" s="7">
        <f t="shared" si="2"/>
        <v>0</v>
      </c>
      <c r="AK11" s="7">
        <f t="shared" si="2"/>
        <v>0</v>
      </c>
      <c r="AL11" s="7">
        <f t="shared" si="2"/>
        <v>0</v>
      </c>
      <c r="AM11" s="7">
        <f t="shared" si="2"/>
        <v>0</v>
      </c>
      <c r="AN11" s="7">
        <f t="shared" si="2"/>
        <v>0</v>
      </c>
      <c r="AO11" s="7">
        <f t="shared" si="2"/>
        <v>0</v>
      </c>
      <c r="AP11" s="7"/>
      <c r="AQ11" s="7">
        <f t="shared" si="3"/>
        <v>0</v>
      </c>
      <c r="AR11" s="12"/>
    </row>
    <row r="12" spans="1:44" ht="25.05" customHeight="1" x14ac:dyDescent="0.3">
      <c r="A12" s="6" t="s">
        <v>10</v>
      </c>
      <c r="B12" s="7"/>
      <c r="C12" s="7"/>
      <c r="D12" s="7">
        <f t="shared" si="0"/>
        <v>0</v>
      </c>
      <c r="E12" s="7">
        <f t="shared" si="0"/>
        <v>0</v>
      </c>
      <c r="F12" s="7">
        <f t="shared" si="0"/>
        <v>0</v>
      </c>
      <c r="G12" s="7">
        <f t="shared" si="0"/>
        <v>0</v>
      </c>
      <c r="H12" s="7">
        <f t="shared" si="0"/>
        <v>0</v>
      </c>
      <c r="I12" s="7">
        <f t="shared" si="0"/>
        <v>0</v>
      </c>
      <c r="J12" s="7">
        <f t="shared" si="0"/>
        <v>0</v>
      </c>
      <c r="K12" s="7">
        <f t="shared" si="0"/>
        <v>0</v>
      </c>
      <c r="L12" s="7">
        <f t="shared" si="0"/>
        <v>0</v>
      </c>
      <c r="M12" s="7">
        <f t="shared" si="0"/>
        <v>0</v>
      </c>
      <c r="N12" s="7">
        <f t="shared" si="0"/>
        <v>0</v>
      </c>
      <c r="O12" s="7">
        <f t="shared" si="0"/>
        <v>0</v>
      </c>
      <c r="P12" s="7">
        <f t="shared" si="0"/>
        <v>0</v>
      </c>
      <c r="Q12" s="7">
        <f t="shared" si="0"/>
        <v>0</v>
      </c>
      <c r="R12" s="7">
        <f t="shared" si="0"/>
        <v>0</v>
      </c>
      <c r="S12" s="7">
        <f t="shared" si="0"/>
        <v>0</v>
      </c>
      <c r="T12" s="7"/>
      <c r="U12" s="7">
        <f t="shared" si="1"/>
        <v>0</v>
      </c>
      <c r="V12" s="12"/>
      <c r="W12" s="6" t="s">
        <v>10</v>
      </c>
      <c r="X12" s="7"/>
      <c r="Y12" s="7"/>
      <c r="Z12" s="7">
        <f t="shared" si="2"/>
        <v>0</v>
      </c>
      <c r="AA12" s="7">
        <f t="shared" si="2"/>
        <v>0</v>
      </c>
      <c r="AB12" s="7">
        <f t="shared" si="2"/>
        <v>0</v>
      </c>
      <c r="AC12" s="7">
        <f t="shared" si="2"/>
        <v>0</v>
      </c>
      <c r="AD12" s="7">
        <f t="shared" si="2"/>
        <v>0</v>
      </c>
      <c r="AE12" s="7">
        <f t="shared" si="2"/>
        <v>0</v>
      </c>
      <c r="AF12" s="7">
        <f t="shared" si="2"/>
        <v>0</v>
      </c>
      <c r="AG12" s="7">
        <f t="shared" si="2"/>
        <v>0</v>
      </c>
      <c r="AH12" s="7">
        <f t="shared" si="2"/>
        <v>0</v>
      </c>
      <c r="AI12" s="7">
        <f t="shared" si="2"/>
        <v>0</v>
      </c>
      <c r="AJ12" s="7">
        <f t="shared" si="2"/>
        <v>0</v>
      </c>
      <c r="AK12" s="7">
        <f t="shared" si="2"/>
        <v>0</v>
      </c>
      <c r="AL12" s="7">
        <f t="shared" si="2"/>
        <v>0</v>
      </c>
      <c r="AM12" s="7">
        <f t="shared" si="2"/>
        <v>0</v>
      </c>
      <c r="AN12" s="7">
        <f t="shared" si="2"/>
        <v>0</v>
      </c>
      <c r="AO12" s="7">
        <f t="shared" si="2"/>
        <v>0</v>
      </c>
      <c r="AP12" s="7"/>
      <c r="AQ12" s="7">
        <f t="shared" si="3"/>
        <v>0</v>
      </c>
      <c r="AR12" s="12"/>
    </row>
    <row r="13" spans="1:44" ht="25.05" customHeight="1" x14ac:dyDescent="0.3">
      <c r="A13" s="6" t="s">
        <v>11</v>
      </c>
      <c r="B13" s="7"/>
      <c r="C13" s="7"/>
      <c r="D13" s="7">
        <f t="shared" si="0"/>
        <v>0</v>
      </c>
      <c r="E13" s="7">
        <f t="shared" si="0"/>
        <v>0</v>
      </c>
      <c r="F13" s="7">
        <f t="shared" si="0"/>
        <v>0</v>
      </c>
      <c r="G13" s="7">
        <f t="shared" si="0"/>
        <v>0</v>
      </c>
      <c r="H13" s="7">
        <f t="shared" si="0"/>
        <v>0</v>
      </c>
      <c r="I13" s="7">
        <f t="shared" si="0"/>
        <v>0</v>
      </c>
      <c r="J13" s="7">
        <f t="shared" si="0"/>
        <v>0</v>
      </c>
      <c r="K13" s="7">
        <f t="shared" si="0"/>
        <v>0</v>
      </c>
      <c r="L13" s="7">
        <f t="shared" si="0"/>
        <v>0</v>
      </c>
      <c r="M13" s="7">
        <f t="shared" si="0"/>
        <v>0</v>
      </c>
      <c r="N13" s="7">
        <f t="shared" si="0"/>
        <v>0</v>
      </c>
      <c r="O13" s="7">
        <f t="shared" si="0"/>
        <v>0</v>
      </c>
      <c r="P13" s="7">
        <f t="shared" si="0"/>
        <v>0</v>
      </c>
      <c r="Q13" s="7">
        <f t="shared" si="0"/>
        <v>0</v>
      </c>
      <c r="R13" s="7">
        <f t="shared" si="0"/>
        <v>0</v>
      </c>
      <c r="S13" s="7">
        <f t="shared" si="0"/>
        <v>0</v>
      </c>
      <c r="T13" s="7"/>
      <c r="U13" s="7">
        <f t="shared" si="1"/>
        <v>0</v>
      </c>
      <c r="V13" s="12"/>
      <c r="W13" s="6" t="s">
        <v>11</v>
      </c>
      <c r="X13" s="7"/>
      <c r="Y13" s="7"/>
      <c r="Z13" s="7">
        <f t="shared" si="2"/>
        <v>0</v>
      </c>
      <c r="AA13" s="7">
        <f t="shared" si="2"/>
        <v>0</v>
      </c>
      <c r="AB13" s="7">
        <f t="shared" si="2"/>
        <v>0</v>
      </c>
      <c r="AC13" s="7">
        <f t="shared" si="2"/>
        <v>0</v>
      </c>
      <c r="AD13" s="7">
        <f t="shared" si="2"/>
        <v>0</v>
      </c>
      <c r="AE13" s="7">
        <f t="shared" si="2"/>
        <v>0</v>
      </c>
      <c r="AF13" s="7">
        <f t="shared" si="2"/>
        <v>0</v>
      </c>
      <c r="AG13" s="7">
        <f t="shared" si="2"/>
        <v>0</v>
      </c>
      <c r="AH13" s="7">
        <f t="shared" si="2"/>
        <v>0</v>
      </c>
      <c r="AI13" s="7">
        <f t="shared" si="2"/>
        <v>0</v>
      </c>
      <c r="AJ13" s="7">
        <f t="shared" si="2"/>
        <v>0</v>
      </c>
      <c r="AK13" s="7">
        <f t="shared" si="2"/>
        <v>0</v>
      </c>
      <c r="AL13" s="7">
        <f t="shared" si="2"/>
        <v>0</v>
      </c>
      <c r="AM13" s="7">
        <f t="shared" si="2"/>
        <v>0</v>
      </c>
      <c r="AN13" s="7">
        <f t="shared" si="2"/>
        <v>0</v>
      </c>
      <c r="AO13" s="7">
        <f t="shared" si="2"/>
        <v>0</v>
      </c>
      <c r="AP13" s="7"/>
      <c r="AQ13" s="7">
        <f t="shared" si="3"/>
        <v>0</v>
      </c>
      <c r="AR13" s="12"/>
    </row>
    <row r="14" spans="1:44" ht="25.05" customHeight="1" x14ac:dyDescent="0.3">
      <c r="A14" s="6" t="s">
        <v>12</v>
      </c>
      <c r="B14" s="7"/>
      <c r="C14" s="7"/>
      <c r="D14" s="7">
        <f t="shared" si="0"/>
        <v>0</v>
      </c>
      <c r="E14" s="7">
        <f t="shared" si="0"/>
        <v>0</v>
      </c>
      <c r="F14" s="7">
        <f t="shared" si="0"/>
        <v>0</v>
      </c>
      <c r="G14" s="7">
        <f t="shared" si="0"/>
        <v>0</v>
      </c>
      <c r="H14" s="7">
        <f t="shared" si="0"/>
        <v>0</v>
      </c>
      <c r="I14" s="7">
        <f t="shared" si="0"/>
        <v>0</v>
      </c>
      <c r="J14" s="7">
        <f t="shared" si="0"/>
        <v>0</v>
      </c>
      <c r="K14" s="7">
        <f t="shared" si="0"/>
        <v>0</v>
      </c>
      <c r="L14" s="7">
        <f t="shared" si="0"/>
        <v>0</v>
      </c>
      <c r="M14" s="7">
        <f t="shared" si="0"/>
        <v>0</v>
      </c>
      <c r="N14" s="7">
        <f t="shared" si="0"/>
        <v>0</v>
      </c>
      <c r="O14" s="7">
        <f t="shared" si="0"/>
        <v>0</v>
      </c>
      <c r="P14" s="7">
        <f t="shared" si="0"/>
        <v>0</v>
      </c>
      <c r="Q14" s="7">
        <f t="shared" si="0"/>
        <v>0</v>
      </c>
      <c r="R14" s="7">
        <f t="shared" si="0"/>
        <v>0</v>
      </c>
      <c r="S14" s="7">
        <f t="shared" si="0"/>
        <v>0</v>
      </c>
      <c r="T14" s="7"/>
      <c r="U14" s="7">
        <f t="shared" si="1"/>
        <v>0</v>
      </c>
      <c r="V14" s="12"/>
      <c r="W14" s="6" t="s">
        <v>12</v>
      </c>
      <c r="X14" s="7"/>
      <c r="Y14" s="7"/>
      <c r="Z14" s="7">
        <f t="shared" si="2"/>
        <v>0</v>
      </c>
      <c r="AA14" s="7">
        <f t="shared" si="2"/>
        <v>0</v>
      </c>
      <c r="AB14" s="7">
        <f t="shared" si="2"/>
        <v>0</v>
      </c>
      <c r="AC14" s="7">
        <f t="shared" si="2"/>
        <v>0</v>
      </c>
      <c r="AD14" s="7">
        <f t="shared" si="2"/>
        <v>0</v>
      </c>
      <c r="AE14" s="7">
        <f t="shared" si="2"/>
        <v>0</v>
      </c>
      <c r="AF14" s="7">
        <f t="shared" si="2"/>
        <v>0</v>
      </c>
      <c r="AG14" s="7">
        <f t="shared" si="2"/>
        <v>0</v>
      </c>
      <c r="AH14" s="7">
        <f t="shared" si="2"/>
        <v>0</v>
      </c>
      <c r="AI14" s="7">
        <f t="shared" si="2"/>
        <v>0</v>
      </c>
      <c r="AJ14" s="7">
        <f t="shared" si="2"/>
        <v>0</v>
      </c>
      <c r="AK14" s="7">
        <f t="shared" si="2"/>
        <v>0</v>
      </c>
      <c r="AL14" s="7">
        <f t="shared" si="2"/>
        <v>0</v>
      </c>
      <c r="AM14" s="7">
        <f t="shared" si="2"/>
        <v>0</v>
      </c>
      <c r="AN14" s="7">
        <f t="shared" si="2"/>
        <v>0</v>
      </c>
      <c r="AO14" s="7">
        <f t="shared" si="2"/>
        <v>0</v>
      </c>
      <c r="AP14" s="7"/>
      <c r="AQ14" s="7">
        <f t="shared" si="3"/>
        <v>0</v>
      </c>
      <c r="AR14" s="12"/>
    </row>
    <row r="15" spans="1:44" ht="25.05" customHeight="1" x14ac:dyDescent="0.3">
      <c r="A15" s="8" t="s">
        <v>13</v>
      </c>
      <c r="B15" s="9"/>
      <c r="C15" s="7"/>
      <c r="D15" s="7">
        <f t="shared" si="0"/>
        <v>0</v>
      </c>
      <c r="E15" s="7">
        <f t="shared" si="0"/>
        <v>0</v>
      </c>
      <c r="F15" s="7">
        <f t="shared" si="0"/>
        <v>0</v>
      </c>
      <c r="G15" s="7">
        <f t="shared" si="0"/>
        <v>0</v>
      </c>
      <c r="H15" s="7">
        <f t="shared" si="0"/>
        <v>0</v>
      </c>
      <c r="I15" s="7">
        <f t="shared" si="0"/>
        <v>0</v>
      </c>
      <c r="J15" s="7">
        <f t="shared" si="0"/>
        <v>0</v>
      </c>
      <c r="K15" s="7">
        <f t="shared" si="0"/>
        <v>0</v>
      </c>
      <c r="L15" s="7">
        <f t="shared" si="0"/>
        <v>0</v>
      </c>
      <c r="M15" s="7">
        <f t="shared" si="0"/>
        <v>0</v>
      </c>
      <c r="N15" s="7">
        <f t="shared" si="0"/>
        <v>0</v>
      </c>
      <c r="O15" s="7">
        <f t="shared" si="0"/>
        <v>0</v>
      </c>
      <c r="P15" s="7">
        <f t="shared" si="0"/>
        <v>0</v>
      </c>
      <c r="Q15" s="7">
        <f t="shared" si="0"/>
        <v>0</v>
      </c>
      <c r="R15" s="7">
        <f t="shared" si="0"/>
        <v>0</v>
      </c>
      <c r="S15" s="7">
        <f t="shared" si="0"/>
        <v>0</v>
      </c>
      <c r="T15" s="7"/>
      <c r="U15" s="7">
        <f t="shared" si="1"/>
        <v>0</v>
      </c>
      <c r="V15" s="13"/>
      <c r="W15" s="8" t="s">
        <v>13</v>
      </c>
      <c r="X15" s="9"/>
      <c r="Y15" s="7"/>
      <c r="Z15" s="7">
        <f t="shared" si="2"/>
        <v>0</v>
      </c>
      <c r="AA15" s="7">
        <f t="shared" si="2"/>
        <v>0</v>
      </c>
      <c r="AB15" s="7">
        <f t="shared" si="2"/>
        <v>0</v>
      </c>
      <c r="AC15" s="7">
        <f t="shared" si="2"/>
        <v>0</v>
      </c>
      <c r="AD15" s="7">
        <f t="shared" si="2"/>
        <v>0</v>
      </c>
      <c r="AE15" s="7">
        <f t="shared" si="2"/>
        <v>0</v>
      </c>
      <c r="AF15" s="7">
        <f t="shared" si="2"/>
        <v>0</v>
      </c>
      <c r="AG15" s="7">
        <f t="shared" si="2"/>
        <v>0</v>
      </c>
      <c r="AH15" s="7">
        <f t="shared" si="2"/>
        <v>0</v>
      </c>
      <c r="AI15" s="7">
        <f t="shared" si="2"/>
        <v>0</v>
      </c>
      <c r="AJ15" s="7">
        <f t="shared" si="2"/>
        <v>0</v>
      </c>
      <c r="AK15" s="7">
        <f t="shared" si="2"/>
        <v>0</v>
      </c>
      <c r="AL15" s="7">
        <f t="shared" si="2"/>
        <v>0</v>
      </c>
      <c r="AM15" s="7">
        <f t="shared" si="2"/>
        <v>0</v>
      </c>
      <c r="AN15" s="7">
        <f t="shared" si="2"/>
        <v>0</v>
      </c>
      <c r="AO15" s="7">
        <f t="shared" si="2"/>
        <v>0</v>
      </c>
      <c r="AP15" s="7"/>
      <c r="AQ15" s="7">
        <f t="shared" si="3"/>
        <v>0</v>
      </c>
      <c r="AR15" s="13"/>
    </row>
    <row r="16" spans="1:44" ht="15" thickBot="1" x14ac:dyDescent="0.3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3:22" ht="19.8" x14ac:dyDescent="0.3">
      <c r="C17" s="2"/>
      <c r="D17" s="27" t="s">
        <v>39</v>
      </c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9"/>
      <c r="U17" s="30"/>
      <c r="V17" s="1"/>
    </row>
    <row r="18" spans="3:22" ht="17.399999999999999" x14ac:dyDescent="0.3">
      <c r="C18" s="2"/>
      <c r="D18" s="17" t="str">
        <f>Table1[[#Headers],[Investments (Brokerage)]]</f>
        <v>Investments (Brokerage)</v>
      </c>
      <c r="E18" s="14" t="str">
        <f>Table1[[#Headers],[Investment (IRA)]]</f>
        <v>Investment (IRA)</v>
      </c>
      <c r="F18" s="14" t="str">
        <f>Table1[[#Headers],[Short Term Savings]]</f>
        <v>Short Term Savings</v>
      </c>
      <c r="G18" s="14" t="str">
        <f>Table1[[#Headers],[Long Term Savings]]</f>
        <v>Long Term Savings</v>
      </c>
      <c r="H18" s="15" t="str">
        <f>Table1[[#Headers],[Rent/Mortgage]]</f>
        <v>Rent/Mortgage</v>
      </c>
      <c r="I18" s="15" t="str">
        <f>Table1[[#Headers],[Student Loans]]</f>
        <v>Student Loans</v>
      </c>
      <c r="J18" s="15" t="str">
        <f>Table1[[#Headers],[Credit Card]]</f>
        <v>Credit Card</v>
      </c>
      <c r="K18" s="15" t="str">
        <f>Table1[[#Headers],[Car Payments]]</f>
        <v>Car Payments</v>
      </c>
      <c r="L18" s="15" t="str">
        <f>Table1[[#Headers],[Gas]]</f>
        <v>Gas</v>
      </c>
      <c r="M18" s="15" t="str">
        <f>Table1[[#Headers],[Groceries]]</f>
        <v>Groceries</v>
      </c>
      <c r="N18" s="15" t="str">
        <f>Table1[[#Headers],[Internet &amp; Data]]</f>
        <v>Internet &amp; Data</v>
      </c>
      <c r="O18" s="15" t="str">
        <f>Table1[[#Headers],[Subscriptions]]</f>
        <v>Subscriptions</v>
      </c>
      <c r="P18" s="15" t="str">
        <f>Table1[[#Headers],[Health and Wellness]]</f>
        <v>Health and Wellness</v>
      </c>
      <c r="Q18" s="16" t="str">
        <f>Table1[[#Headers],[Children &amp; Family]]</f>
        <v>Children &amp; Family</v>
      </c>
      <c r="R18" s="16" t="str">
        <f>Table1[[#Headers],[Childcare]]</f>
        <v>Childcare</v>
      </c>
      <c r="S18" s="16" t="str">
        <f>Table1[[#Headers],[Pets]]</f>
        <v>Pets</v>
      </c>
      <c r="T18" s="19" t="s">
        <v>40</v>
      </c>
      <c r="U18" s="18" t="str">
        <f>Table1[[#Headers],[Other (make note)]]</f>
        <v>Other (make note)</v>
      </c>
    </row>
    <row r="19" spans="3:22" ht="20.399999999999999" thickBot="1" x14ac:dyDescent="0.35">
      <c r="C19" s="2"/>
      <c r="D19" s="32">
        <v>0.1</v>
      </c>
      <c r="E19" s="33">
        <v>4.4999999999999998E-2</v>
      </c>
      <c r="F19" s="33">
        <v>7.4999999999999997E-2</v>
      </c>
      <c r="G19" s="33">
        <v>0.05</v>
      </c>
      <c r="H19" s="34">
        <v>0.2</v>
      </c>
      <c r="I19" s="34">
        <v>0.05</v>
      </c>
      <c r="J19" s="34">
        <v>0.02</v>
      </c>
      <c r="K19" s="34">
        <v>0.08</v>
      </c>
      <c r="L19" s="34">
        <v>0.05</v>
      </c>
      <c r="M19" s="34">
        <v>0.08</v>
      </c>
      <c r="N19" s="34">
        <v>0.03</v>
      </c>
      <c r="O19" s="34">
        <v>0.02</v>
      </c>
      <c r="P19" s="34">
        <v>0.05</v>
      </c>
      <c r="Q19" s="35">
        <v>0.05</v>
      </c>
      <c r="R19" s="35">
        <v>0.05</v>
      </c>
      <c r="S19" s="35"/>
      <c r="T19" s="36">
        <v>0.05</v>
      </c>
      <c r="U19" s="37"/>
      <c r="V19" s="31"/>
    </row>
  </sheetData>
  <mergeCells count="11">
    <mergeCell ref="D17:U17"/>
    <mergeCell ref="W1:AR1"/>
    <mergeCell ref="X2:Y2"/>
    <mergeCell ref="Z2:AC2"/>
    <mergeCell ref="AD2:AL2"/>
    <mergeCell ref="AM2:AO2"/>
    <mergeCell ref="A1:V1"/>
    <mergeCell ref="B2:C2"/>
    <mergeCell ref="D2:G2"/>
    <mergeCell ref="H2:P2"/>
    <mergeCell ref="Q2:S2"/>
  </mergeCells>
  <phoneticPr fontId="7" type="noConversion"/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Personal Budgeting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Sean Pelillo</dc:creator>
  <cp:keywords/>
  <dc:description/>
  <cp:lastModifiedBy>Sean Pelillo</cp:lastModifiedBy>
  <cp:revision/>
  <dcterms:created xsi:type="dcterms:W3CDTF">2025-06-29T01:32:13Z</dcterms:created>
  <dcterms:modified xsi:type="dcterms:W3CDTF">2025-06-29T21:22:31Z</dcterms:modified>
  <cp:category/>
  <cp:contentStatus/>
</cp:coreProperties>
</file>